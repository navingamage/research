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dd-back Review" sheetId="2" state="visible" r:id="rId2"/>
    <sheet xmlns:r="http://schemas.openxmlformats.org/officeDocument/2006/relationships" name="Covenant 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&quot;x&quot;"/>
    <numFmt numFmtId="166" formatCode="0.000&quot;x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Kestrel Ridge Fabrication Holdings, Inc.</t>
        </is>
      </c>
    </row>
    <row r="2">
      <c r="A2" t="inlineStr">
        <is>
          <t>Quarterly income statement data, $ in millions (unaudited)</t>
        </is>
      </c>
    </row>
    <row r="4">
      <c r="A4" s="2" t="inlineStr">
        <is>
          <t>Line item</t>
        </is>
      </c>
      <c r="B4" s="2" t="inlineStr">
        <is>
          <t>Q4 2025</t>
        </is>
      </c>
      <c r="C4" s="2" t="inlineStr">
        <is>
          <t>Q1 2026</t>
        </is>
      </c>
      <c r="D4" s="2" t="inlineStr">
        <is>
          <t>Q2 2026</t>
        </is>
      </c>
      <c r="E4" s="2" t="inlineStr">
        <is>
          <t>Q3 2026</t>
        </is>
      </c>
      <c r="F4" s="2" t="inlineStr">
        <is>
          <t>LTM</t>
        </is>
      </c>
    </row>
    <row r="5">
      <c r="A5" t="inlineStr">
        <is>
          <t>Revenue</t>
        </is>
      </c>
      <c r="B5" s="3" t="n">
        <v>120</v>
      </c>
      <c r="C5" s="3" t="n">
        <v>125</v>
      </c>
      <c r="D5" s="3" t="n">
        <v>130</v>
      </c>
      <c r="E5" s="3" t="n">
        <v>135</v>
      </c>
      <c r="F5" s="3">
        <f>SUM(B5:E5)</f>
        <v/>
      </c>
    </row>
    <row r="6">
      <c r="A6" t="inlineStr">
        <is>
          <t>Consolidated Net Income</t>
        </is>
      </c>
      <c r="B6" s="3" t="n">
        <v>3.5</v>
      </c>
      <c r="C6" s="3" t="n">
        <v>4</v>
      </c>
      <c r="D6" s="3" t="n">
        <v>5</v>
      </c>
      <c r="E6" s="3" t="n">
        <v>5.5</v>
      </c>
      <c r="F6" s="3">
        <f>SUM(B6:E6)</f>
        <v/>
      </c>
    </row>
    <row r="7">
      <c r="A7" t="inlineStr">
        <is>
          <t>Interest expense (total)</t>
        </is>
      </c>
      <c r="B7" s="3" t="n">
        <v>6</v>
      </c>
      <c r="C7" s="3" t="n">
        <v>6</v>
      </c>
      <c r="D7" s="3" t="n">
        <v>6</v>
      </c>
      <c r="E7" s="3" t="n">
        <v>6</v>
      </c>
      <c r="F7" s="3">
        <f>SUM(B7:E7)</f>
        <v/>
      </c>
    </row>
    <row r="8">
      <c r="A8" t="inlineStr">
        <is>
          <t xml:space="preserve">  of which: cash interest</t>
        </is>
      </c>
      <c r="B8" s="3" t="n">
        <v>5.5</v>
      </c>
      <c r="C8" s="3" t="n">
        <v>5.5</v>
      </c>
      <c r="D8" s="3" t="n">
        <v>5.5</v>
      </c>
      <c r="E8" s="3" t="n">
        <v>5.5</v>
      </c>
      <c r="F8" s="3">
        <f>SUM(B8:E8)</f>
        <v/>
      </c>
    </row>
    <row r="9">
      <c r="A9" t="inlineStr">
        <is>
          <t xml:space="preserve">  of which: amortization of fees / OID</t>
        </is>
      </c>
      <c r="B9" s="3" t="n">
        <v>0.5</v>
      </c>
      <c r="C9" s="3" t="n">
        <v>0.5</v>
      </c>
      <c r="D9" s="3" t="n">
        <v>0.5</v>
      </c>
      <c r="E9" s="3" t="n">
        <v>0.5</v>
      </c>
      <c r="F9" s="3">
        <f>SUM(B9:E9)</f>
        <v/>
      </c>
    </row>
    <row r="10">
      <c r="A10" t="inlineStr">
        <is>
          <t>Income tax expense</t>
        </is>
      </c>
      <c r="B10" s="3" t="n">
        <v>1.2</v>
      </c>
      <c r="C10" s="3" t="n">
        <v>1.4</v>
      </c>
      <c r="D10" s="3" t="n">
        <v>1.6</v>
      </c>
      <c r="E10" s="3" t="n">
        <v>1.8</v>
      </c>
      <c r="F10" s="3">
        <f>SUM(B10:E10)</f>
        <v/>
      </c>
    </row>
    <row r="11">
      <c r="A11" t="inlineStr">
        <is>
          <t>Depreciation and amortization</t>
        </is>
      </c>
      <c r="B11" s="3" t="n">
        <v>5.5</v>
      </c>
      <c r="C11" s="3" t="n">
        <v>5.5</v>
      </c>
      <c r="D11" s="3" t="n">
        <v>5.5</v>
      </c>
      <c r="E11" s="3" t="n">
        <v>5.5</v>
      </c>
      <c r="F11" s="3">
        <f>SUM(B11:E11)</f>
        <v/>
      </c>
    </row>
    <row r="12">
      <c r="A12" t="inlineStr">
        <is>
          <t>Non-cash stock-based compensation</t>
        </is>
      </c>
      <c r="B12" s="3" t="n">
        <v>0.5</v>
      </c>
      <c r="C12" s="3" t="n">
        <v>0.5</v>
      </c>
      <c r="D12" s="3" t="n">
        <v>0.5</v>
      </c>
      <c r="E12" s="3" t="n">
        <v>0.5</v>
      </c>
      <c r="F12" s="3">
        <f>SUM(B12:E12)</f>
        <v/>
      </c>
    </row>
    <row r="13">
      <c r="A13" t="inlineStr">
        <is>
          <t>Restructuring charges</t>
        </is>
      </c>
      <c r="B13" s="3" t="n">
        <v>1</v>
      </c>
      <c r="C13" s="3" t="n">
        <v>1.5</v>
      </c>
      <c r="D13" s="3" t="n">
        <v>2.5</v>
      </c>
      <c r="E13" s="3" t="n">
        <v>3</v>
      </c>
      <c r="F13" s="3">
        <f>SUM(B13:E13)</f>
        <v/>
      </c>
    </row>
    <row r="16">
      <c r="A16" s="4" t="inlineStr">
        <is>
          <t>Balance sheet items as of September 30, 2026 ($mm)</t>
        </is>
      </c>
    </row>
    <row r="17">
      <c r="A17" s="2" t="inlineStr">
        <is>
          <t>Item</t>
        </is>
      </c>
      <c r="B17" s="2" t="inlineStr">
        <is>
          <t>Amount</t>
        </is>
      </c>
      <c r="C17" s="2" t="inlineStr">
        <is>
          <t>Notes</t>
        </is>
      </c>
    </row>
    <row r="18">
      <c r="A18" t="inlineStr">
        <is>
          <t>Term Loan B</t>
        </is>
      </c>
      <c r="B18" t="n">
        <v>480</v>
      </c>
      <c r="C18" t="inlineStr">
        <is>
          <t>Senior secured</t>
        </is>
      </c>
    </row>
    <row r="19">
      <c r="A19" t="inlineStr">
        <is>
          <t>Revolving Loans outstanding</t>
        </is>
      </c>
      <c r="B19" t="n">
        <v>35</v>
      </c>
      <c r="C19" t="inlineStr">
        <is>
          <t>$75mm commitment</t>
        </is>
      </c>
    </row>
    <row r="20">
      <c r="A20" t="inlineStr">
        <is>
          <t>Finance Lease Obligations</t>
        </is>
      </c>
      <c r="B20" t="n">
        <v>5</v>
      </c>
      <c r="C20" t="inlineStr"/>
    </row>
    <row r="21">
      <c r="A21" t="inlineStr">
        <is>
          <t>Letters of credit outstanding (undrawn)</t>
        </is>
      </c>
      <c r="B21" t="n">
        <v>6</v>
      </c>
      <c r="C21" t="inlineStr">
        <is>
          <t>Standby LCs</t>
        </is>
      </c>
    </row>
    <row r="22">
      <c r="A22" t="inlineStr">
        <is>
          <t>Cash: operating accounts</t>
        </is>
      </c>
      <c r="B22" t="n">
        <v>23</v>
      </c>
      <c r="C22" t="inlineStr">
        <is>
          <t>Unrestricted</t>
        </is>
      </c>
    </row>
    <row r="23">
      <c r="A23" t="inlineStr">
        <is>
          <t>Cash: money market funds</t>
        </is>
      </c>
      <c r="B23" t="n">
        <v>5</v>
      </c>
      <c r="C23" t="inlineStr">
        <is>
          <t>Unrestricted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28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Schedule 2 add-backs claimed by Borrower: eligibility review</t>
        </is>
      </c>
    </row>
    <row r="2">
      <c r="A2" t="inlineStr">
        <is>
          <t>18-month realization cutoff:</t>
        </is>
      </c>
      <c r="C2" t="inlineStr">
        <is>
          <t>3/31/2028 (9/30/2026 + 18 months)</t>
        </is>
      </c>
    </row>
    <row r="4">
      <c r="A4" s="5" t="inlineStr">
        <is>
          <t>#</t>
        </is>
      </c>
      <c r="B4" s="5" t="inlineStr">
        <is>
          <t>Clause</t>
        </is>
      </c>
      <c r="C4" s="5" t="inlineStr">
        <is>
          <t>Description</t>
        </is>
      </c>
      <c r="D4" s="5" t="inlineStr">
        <is>
          <t>Action status at 9/30/2026</t>
        </is>
      </c>
      <c r="E4" s="5" t="inlineStr">
        <is>
          <t>Expected full realization</t>
        </is>
      </c>
      <c r="F4" s="5" t="inlineStr">
        <is>
          <t>Amount claimed ($mm)</t>
        </is>
      </c>
      <c r="G4" s="5" t="inlineStr">
        <is>
          <t>Eligible?</t>
        </is>
      </c>
      <c r="H4" s="5" t="inlineStr">
        <is>
          <t>Eligible amount ($mm)</t>
        </is>
      </c>
    </row>
    <row r="5">
      <c r="A5" t="inlineStr">
        <is>
          <t>R-1</t>
        </is>
      </c>
      <c r="B5" t="inlineStr">
        <is>
          <t>(vi)</t>
        </is>
      </c>
      <c r="C5" t="inlineStr">
        <is>
          <t>Severance, SG&amp;A reduction program</t>
        </is>
      </c>
      <c r="D5" t="inlineStr">
        <is>
          <t>Completed</t>
        </is>
      </c>
      <c r="E5" t="inlineStr">
        <is>
          <t>n/a</t>
        </is>
      </c>
      <c r="F5" t="n">
        <v>4.5</v>
      </c>
      <c r="G5" s="6" t="n"/>
      <c r="H5">
        <f>IF(G5="Yes",F5,IF(G5="No",0,""))</f>
        <v/>
      </c>
    </row>
    <row r="6">
      <c r="A6" t="inlineStr">
        <is>
          <t>R-2</t>
        </is>
      </c>
      <c r="B6" t="inlineStr">
        <is>
          <t>(vi)</t>
        </is>
      </c>
      <c r="C6" t="inlineStr">
        <is>
          <t>Toledo warehouse lease exit costs</t>
        </is>
      </c>
      <c r="D6" t="inlineStr">
        <is>
          <t>Completed</t>
        </is>
      </c>
      <c r="E6" t="inlineStr">
        <is>
          <t>n/a</t>
        </is>
      </c>
      <c r="F6" t="n">
        <v>2</v>
      </c>
      <c r="G6" s="6" t="n"/>
      <c r="H6">
        <f>IF(G6="Yes",F6,IF(G6="No",0,""))</f>
        <v/>
      </c>
    </row>
    <row r="7">
      <c r="A7" t="inlineStr">
        <is>
          <t>R-3</t>
        </is>
      </c>
      <c r="B7" t="inlineStr">
        <is>
          <t>(vi)</t>
        </is>
      </c>
      <c r="C7" t="inlineStr">
        <is>
          <t>Relocation of welding line to Fort Wayne plant</t>
        </is>
      </c>
      <c r="D7" t="inlineStr">
        <is>
          <t>In progress</t>
        </is>
      </c>
      <c r="E7" t="inlineStr">
        <is>
          <t>n/a</t>
        </is>
      </c>
      <c r="F7" t="n">
        <v>1.5</v>
      </c>
      <c r="G7" s="6" t="n"/>
      <c r="H7">
        <f>IF(G7="Yes",F7,IF(G7="No",0,""))</f>
        <v/>
      </c>
    </row>
    <row r="8">
      <c r="A8" t="inlineStr">
        <is>
          <t>S-1</t>
        </is>
      </c>
      <c r="B8" t="inlineStr">
        <is>
          <t>(vii)</t>
        </is>
      </c>
      <c r="C8" t="inlineStr">
        <is>
          <t>Steel and aluminum procurement consolidation</t>
        </is>
      </c>
      <c r="D8" t="inlineStr">
        <is>
          <t>Initiated Q2 2026</t>
        </is>
      </c>
      <c r="E8" t="inlineStr">
        <is>
          <t>Q2 2027</t>
        </is>
      </c>
      <c r="F8" t="n">
        <v>6</v>
      </c>
      <c r="G8" s="6" t="n"/>
      <c r="H8">
        <f>IF(G8="Yes",F8,IF(G8="No",0,""))</f>
        <v/>
      </c>
    </row>
    <row r="9">
      <c r="A9" t="inlineStr">
        <is>
          <t>S-2</t>
        </is>
      </c>
      <c r="B9" t="inlineStr">
        <is>
          <t>(vii)</t>
        </is>
      </c>
      <c r="C9" t="inlineStr">
        <is>
          <t>SG&amp;A headcount reduction run-rate savings</t>
        </is>
      </c>
      <c r="D9" t="inlineStr">
        <is>
          <t>Initiated Q3 2026</t>
        </is>
      </c>
      <c r="E9" t="inlineStr">
        <is>
          <t>Q1 2027</t>
        </is>
      </c>
      <c r="F9" t="n">
        <v>7</v>
      </c>
      <c r="G9" s="6" t="n"/>
      <c r="H9">
        <f>IF(G9="Yes",F9,IF(G9="No",0,""))</f>
        <v/>
      </c>
    </row>
    <row r="10">
      <c r="A10" t="inlineStr">
        <is>
          <t>S-3</t>
        </is>
      </c>
      <c r="B10" t="inlineStr">
        <is>
          <t>(vii)</t>
        </is>
      </c>
      <c r="C10" t="inlineStr">
        <is>
          <t>Dayton plant closure and consolidation</t>
        </is>
      </c>
      <c r="D10" t="inlineStr">
        <is>
          <t>Board approval expected Q4 2027</t>
        </is>
      </c>
      <c r="E10" t="inlineStr">
        <is>
          <t>Q2 2028</t>
        </is>
      </c>
      <c r="F10" t="n">
        <v>3</v>
      </c>
      <c r="G10" s="6" t="n"/>
      <c r="H10">
        <f>IF(G10="Yes",F10,IF(G10="No",0,""))</f>
        <v/>
      </c>
    </row>
    <row r="11">
      <c r="C11" s="4" t="inlineStr">
        <is>
          <t>Total</t>
        </is>
      </c>
      <c r="F11">
        <f>SUM(F5:F10)</f>
        <v/>
      </c>
      <c r="H11">
        <f>SUM(H5:H10)</f>
        <v/>
      </c>
    </row>
  </sheetData>
  <dataValidations count="1">
    <dataValidation sqref="G5 G6 G7 G8 G9 G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Section 7.11 covenant recalculation: Test Period ended September 30, 2026 ($mm)</t>
        </is>
      </c>
    </row>
    <row r="2">
      <c r="A2" t="inlineStr">
        <is>
          <t>Yellow cells = my inputs</t>
        </is>
      </c>
    </row>
    <row r="3">
      <c r="A3" s="2" t="inlineStr">
        <is>
          <t>Line item</t>
        </is>
      </c>
      <c r="B3" s="2" t="inlineStr">
        <is>
          <t>Per Borrower certificate</t>
        </is>
      </c>
      <c r="C3" s="2" t="inlineStr">
        <is>
          <t>My recalculation</t>
        </is>
      </c>
      <c r="D3" s="2" t="inlineStr">
        <is>
          <t>Variance</t>
        </is>
      </c>
    </row>
    <row r="4">
      <c r="A4" t="inlineStr">
        <is>
          <t>Consolidated Net Income</t>
        </is>
      </c>
      <c r="B4" s="3" t="n">
        <v>18</v>
      </c>
      <c r="C4" s="3">
        <f>Financials!F6</f>
        <v/>
      </c>
      <c r="D4" s="3">
        <f>IF(C4="","",C4-B4)</f>
        <v/>
      </c>
    </row>
    <row r="5">
      <c r="A5" t="inlineStr">
        <is>
          <t>(i) Consolidated Interest Expense</t>
        </is>
      </c>
      <c r="B5" s="3" t="n">
        <v>24</v>
      </c>
      <c r="C5" s="3">
        <f>Financials!F7</f>
        <v/>
      </c>
      <c r="D5" s="3">
        <f>IF(C5="","",C5-B5)</f>
        <v/>
      </c>
    </row>
    <row r="6">
      <c r="A6" t="inlineStr">
        <is>
          <t>(ii) Income tax expense</t>
        </is>
      </c>
      <c r="B6" s="3" t="n">
        <v>6</v>
      </c>
      <c r="C6" s="3">
        <f>Financials!F10</f>
        <v/>
      </c>
      <c r="D6" s="3">
        <f>IF(C6="","",C6-B6)</f>
        <v/>
      </c>
    </row>
    <row r="7">
      <c r="A7" t="inlineStr">
        <is>
          <t>(iii) Depreciation and amortization</t>
        </is>
      </c>
      <c r="B7" s="3" t="n">
        <v>22</v>
      </c>
      <c r="C7" s="3">
        <f>Financials!F11</f>
        <v/>
      </c>
      <c r="D7" s="3">
        <f>IF(C7="","",C7-B7)</f>
        <v/>
      </c>
    </row>
    <row r="8">
      <c r="A8" t="inlineStr">
        <is>
          <t>(iv) Non-cash stock-based compensation</t>
        </is>
      </c>
      <c r="B8" s="3" t="n">
        <v>2</v>
      </c>
      <c r="C8" s="3">
        <f>Financials!F12</f>
        <v/>
      </c>
      <c r="D8" s="3">
        <f>IF(C8="","",C8-B8)</f>
        <v/>
      </c>
    </row>
    <row r="9">
      <c r="A9" t="inlineStr">
        <is>
          <t>EBITDA before clauses (vi) and (vii)</t>
        </is>
      </c>
      <c r="B9" s="3" t="n">
        <v>72</v>
      </c>
      <c r="C9" s="3">
        <f>SUM(C4:C8)</f>
        <v/>
      </c>
      <c r="D9" s="3">
        <f>IF(C9="","",C9-B9)</f>
        <v/>
      </c>
    </row>
    <row r="10">
      <c r="A10" t="inlineStr">
        <is>
          <t>(vi) Restructuring charges (eligible)</t>
        </is>
      </c>
      <c r="B10" s="3" t="n">
        <v>8</v>
      </c>
      <c r="C10" s="3">
        <f>IF(COUNTBLANK('Add-back Review'!G5:G10)&gt;0,"",SUMIF('Add-back Review'!B5:B10,"(vi)",'Add-back Review'!H5:H10))</f>
        <v/>
      </c>
      <c r="D10" s="3">
        <f>IF(C10="","",C10-B10)</f>
        <v/>
      </c>
    </row>
    <row r="11">
      <c r="A11" t="inlineStr">
        <is>
          <t>(vii) Run-rate cost savings (eligible)</t>
        </is>
      </c>
      <c r="B11" s="3" t="n">
        <v>16</v>
      </c>
      <c r="C11" s="3">
        <f>IF(COUNTBLANK('Add-back Review'!G5:G10)&gt;0,"",SUMIF('Add-back Review'!B5:B10,"(vii)",'Add-back Review'!H5:H10))</f>
        <v/>
      </c>
      <c r="D11" s="3">
        <f>IF(C11="","",C11-B11)</f>
        <v/>
      </c>
    </row>
    <row r="12">
      <c r="A12" t="inlineStr">
        <is>
          <t>Clauses (vi)+(vii) before cap</t>
        </is>
      </c>
      <c r="B12" s="3" t="n">
        <v>24</v>
      </c>
      <c r="C12" s="3">
        <f>IF(C11="","",C10+C11)</f>
        <v/>
      </c>
      <c r="D12" s="3">
        <f>IF(C12="","",C12-B12)</f>
        <v/>
      </c>
    </row>
    <row r="13">
      <c r="A13" t="inlineStr">
        <is>
          <t>25% cap</t>
        </is>
      </c>
      <c r="B13" s="3" t="n">
        <v>24</v>
      </c>
      <c r="C13" s="7" t="n"/>
      <c r="D13" s="3">
        <f>IF(C13="","",C13-B13)</f>
        <v/>
      </c>
    </row>
    <row r="14">
      <c r="A14" t="inlineStr">
        <is>
          <t>Clauses (vi)+(vii) allowed</t>
        </is>
      </c>
      <c r="B14" s="3" t="n">
        <v>24</v>
      </c>
      <c r="C14" s="3">
        <f>IF(OR(C12="",C13=""),"",MIN(C12,C13))</f>
        <v/>
      </c>
      <c r="D14" s="3">
        <f>IF(C14="","",C14-B14)</f>
        <v/>
      </c>
    </row>
    <row r="15">
      <c r="A15" s="4" t="inlineStr">
        <is>
          <t>Consolidated EBITDA</t>
        </is>
      </c>
      <c r="B15" s="8" t="n">
        <v>96</v>
      </c>
      <c r="C15" s="8">
        <f>IF(C14="","",C9+C14)</f>
        <v/>
      </c>
      <c r="D15" s="3">
        <f>IF(C15="","",C15-B15)</f>
        <v/>
      </c>
    </row>
    <row r="17">
      <c r="A17" t="inlineStr">
        <is>
          <t>Consolidated Total Debt (excl. undrawn LCs)</t>
        </is>
      </c>
      <c r="B17" s="3" t="n">
        <v>520</v>
      </c>
      <c r="C17" s="3">
        <f>Financials!B18+Financials!B19+Financials!B20</f>
        <v/>
      </c>
      <c r="D17" s="3">
        <f>IF(C17="","",C17-B17)</f>
        <v/>
      </c>
    </row>
    <row r="18">
      <c r="A18" t="inlineStr">
        <is>
          <t>Unrestricted cash</t>
        </is>
      </c>
      <c r="B18" s="3" t="n">
        <v>28</v>
      </c>
      <c r="C18" s="3">
        <f>Financials!B22+Financials!B23</f>
        <v/>
      </c>
      <c r="D18" s="3">
        <f>IF(C18="","",C18-B18)</f>
        <v/>
      </c>
    </row>
    <row r="19">
      <c r="A19" t="inlineStr">
        <is>
          <t>Cash netting allowed (cap $15.0mm)</t>
        </is>
      </c>
      <c r="B19" s="3" t="n">
        <v>28</v>
      </c>
      <c r="C19" s="7" t="n"/>
      <c r="D19" s="3">
        <f>IF(C19="","",C19-B19)</f>
        <v/>
      </c>
    </row>
    <row r="20">
      <c r="A20" s="4" t="inlineStr">
        <is>
          <t>Consolidated Total Net Debt</t>
        </is>
      </c>
      <c r="B20" s="8" t="n">
        <v>492</v>
      </c>
      <c r="C20" s="8">
        <f>IF(C19="","",C17-C19)</f>
        <v/>
      </c>
      <c r="D20" s="3">
        <f>IF(C20="","",C20-B20)</f>
        <v/>
      </c>
    </row>
    <row r="22">
      <c r="A22" t="inlineStr">
        <is>
          <t>Consolidated Cash Interest Expense</t>
        </is>
      </c>
      <c r="B22" s="3" t="n">
        <v>22</v>
      </c>
      <c r="C22" s="3">
        <f>Financials!F8</f>
        <v/>
      </c>
      <c r="D22" s="3">
        <f>IF(C22="","",C22-B22)</f>
        <v/>
      </c>
    </row>
    <row r="24">
      <c r="A24" s="4" t="inlineStr">
        <is>
          <t>Total Net Leverage Ratio</t>
        </is>
      </c>
      <c r="B24" s="9" t="n">
        <v>5.13</v>
      </c>
      <c r="C24" s="9">
        <f>IF(OR(C15="",C20=""),"",C20/C15)</f>
        <v/>
      </c>
      <c r="D24" s="10">
        <f>IF(C24="","",C24-B24)</f>
        <v/>
      </c>
    </row>
    <row r="25">
      <c r="A25" t="inlineStr">
        <is>
          <t>Maximum permitted (FQ ending 9/30/2026)</t>
        </is>
      </c>
      <c r="B25" s="10" t="n">
        <v>5.25</v>
      </c>
      <c r="C25" s="11" t="n"/>
      <c r="D25" s="10">
        <f>IF(C25="","",C25-B25)</f>
        <v/>
      </c>
    </row>
    <row r="26">
      <c r="A26" t="inlineStr">
        <is>
          <t>In compliance?</t>
        </is>
      </c>
      <c r="B26" s="3" t="inlineStr">
        <is>
          <t>Yes</t>
        </is>
      </c>
      <c r="C26" s="3">
        <f>IF(OR(C24="",C25=""),"",IF(C24&lt;=C25,"Yes","No"))</f>
        <v/>
      </c>
      <c r="D26" s="3" t="n"/>
    </row>
    <row r="27">
      <c r="A27" t="inlineStr">
        <is>
          <t>Interest Coverage Ratio</t>
        </is>
      </c>
      <c r="B27" s="10" t="n">
        <v>4.36</v>
      </c>
      <c r="C27" s="10">
        <f>IF(C15="","",C15/C22)</f>
        <v/>
      </c>
      <c r="D27" s="10">
        <f>IF(C27="","",C27-B27)</f>
        <v/>
      </c>
    </row>
    <row r="28">
      <c r="A28" t="inlineStr">
        <is>
          <t>Minimum required</t>
        </is>
      </c>
      <c r="B28" s="10" t="n">
        <v>2.25</v>
      </c>
      <c r="C28" s="10" t="n">
        <v>2.25</v>
      </c>
      <c r="D28" s="10" t="n"/>
    </row>
    <row r="29">
      <c r="A29" t="inlineStr">
        <is>
          <t>In compliance?</t>
        </is>
      </c>
      <c r="B29" s="3" t="inlineStr">
        <is>
          <t>Yes</t>
        </is>
      </c>
      <c r="C29" s="3">
        <f>IF(C27="","",IF(C27&gt;=C28,"Yes","No"))</f>
        <v/>
      </c>
      <c r="D29" s="3" t="n"/>
    </row>
    <row r="31">
      <c r="A31" t="inlineStr">
        <is>
          <t>EBITDA cushion / (shortfall) vs. leverage covenant</t>
        </is>
      </c>
      <c r="B31" s="3" t="n">
        <v>2.29</v>
      </c>
      <c r="C31" s="3">
        <f>IF(OR(C15="",C20="",C25=""),"",C15-C20/C25)</f>
        <v/>
      </c>
      <c r="D31" s="3">
        <f>IF(C31="","",C31-B31)</f>
        <v/>
      </c>
    </row>
    <row r="33">
      <c r="A33" s="4" t="inlineStr">
        <is>
          <t>Equity cure analysis</t>
        </is>
      </c>
    </row>
    <row r="34">
      <c r="A34" t="inlineStr">
        <is>
          <t>Consolidated EBITDA required for compliance</t>
        </is>
      </c>
      <c r="B34" s="3" t="n"/>
      <c r="C34" s="3">
        <f>IF(OR(C20="",C25=""),"",C20/C25)</f>
        <v/>
      </c>
      <c r="D34" s="3" t="n"/>
    </row>
    <row r="35">
      <c r="A35" t="inlineStr">
        <is>
          <t>Minimum Cure Amount</t>
        </is>
      </c>
      <c r="B35" s="3" t="n"/>
      <c r="C35" s="3">
        <f>IF(OR(C34="",C15=""),"",C34-C15)</f>
        <v/>
      </c>
      <c r="D35" s="3" t="n"/>
    </row>
    <row r="36">
      <c r="A36" t="inlineStr">
        <is>
          <t>Cure Amount (rounded up to $0.1mm)</t>
        </is>
      </c>
      <c r="B36" s="3" t="n"/>
      <c r="C36" s="7" t="n"/>
      <c r="D36" s="3" t="n"/>
    </row>
    <row r="37">
      <c r="A37" t="inlineStr">
        <is>
          <t>Pro forma Total Net Leverage Ratio</t>
        </is>
      </c>
      <c r="B37" s="12" t="n"/>
      <c r="C37" s="12">
        <f>IF(C36="","",C20/(C15+C36))</f>
        <v/>
      </c>
      <c r="D37" s="12" t="n"/>
    </row>
    <row r="38">
      <c r="A38" t="inlineStr">
        <is>
          <t>Cure permitted under 8.04(b)?</t>
        </is>
      </c>
      <c r="B38" s="3" t="n"/>
      <c r="C38" s="7" t="n"/>
      <c r="D38" s="3" t="n"/>
    </row>
  </sheetData>
  <dataValidations count="1">
    <dataValidation sqref="C3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2026-10-27T02:33:09Z</dcterms:created>
  <dcterms:modified xmlns:dcterms="http://purl.org/dc/terms/" xmlns:xsi="http://www.w3.org/2001/XMLSchema-instance" xsi:type="dcterms:W3CDTF">2026-10-27T02:33:09Z</dcterms:modified>
  <cp:lastModifiedBy/>
</cp:coreProperties>
</file>