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ting Guide" sheetId="1" r:id="rId5"/>
    <sheet state="visible" name="Team Data" sheetId="2" r:id="rId6"/>
    <sheet state="visible" name="Ratings" sheetId="3" r:id="rId7"/>
  </sheets>
  <definedNames/>
  <calcPr/>
</workbook>
</file>

<file path=xl/sharedStrings.xml><?xml version="1.0" encoding="utf-8"?>
<sst xmlns="http://schemas.openxmlformats.org/spreadsheetml/2006/main" count="89" uniqueCount="75">
  <si>
    <t>Engineering performance rating guide</t>
  </si>
  <si>
    <t>Payments platform team: April to September 2026</t>
  </si>
  <si>
    <t>Rating scale</t>
  </si>
  <si>
    <t>Engineer</t>
  </si>
  <si>
    <t>Rating</t>
  </si>
  <si>
    <t>Level</t>
  </si>
  <si>
    <t>Label</t>
  </si>
  <si>
    <t>What it means</t>
  </si>
  <si>
    <t>Time on team</t>
  </si>
  <si>
    <t>PRs merged</t>
  </si>
  <si>
    <t>Median PR cycle time (hrs)</t>
  </si>
  <si>
    <t>PRs sent back for changes</t>
  </si>
  <si>
    <t>Code reviews given</t>
  </si>
  <si>
    <t>Sprint commitments met</t>
  </si>
  <si>
    <t>Outstanding</t>
  </si>
  <si>
    <t>Far above the level. Impact reaches beyond the team. Rare.</t>
  </si>
  <si>
    <t>Incidents caused</t>
  </si>
  <si>
    <t>Exceeds</t>
  </si>
  <si>
    <t>On-call incidents resolved</t>
  </si>
  <si>
    <t>Consistently above what the level asks for.</t>
  </si>
  <si>
    <t>Peer feedback (avg of 5)</t>
  </si>
  <si>
    <t>Meets</t>
  </si>
  <si>
    <t>Solid, reliable work at the expected level. Most people land here.</t>
  </si>
  <si>
    <t>Partially meets</t>
  </si>
  <si>
    <t>Priya</t>
  </si>
  <si>
    <t>Some expectations not met. Needs a clear plan.</t>
  </si>
  <si>
    <t>Below</t>
  </si>
  <si>
    <t>Engineer II</t>
  </si>
  <si>
    <t>Well below the level. Needs immediate support.</t>
  </si>
  <si>
    <t>3 years</t>
  </si>
  <si>
    <t>Categories and weights</t>
  </si>
  <si>
    <t>Category</t>
  </si>
  <si>
    <t>Weight</t>
  </si>
  <si>
    <t>What to look at</t>
  </si>
  <si>
    <t>Delivery</t>
  </si>
  <si>
    <t>35%</t>
  </si>
  <si>
    <t>Commitments met, amount of finished work</t>
  </si>
  <si>
    <t>Quality</t>
  </si>
  <si>
    <t>30%</t>
  </si>
  <si>
    <t>Rework rate, incidents caused, test coverage</t>
  </si>
  <si>
    <t>Marcus</t>
  </si>
  <si>
    <t>Half-year ratings: April to September 2026</t>
  </si>
  <si>
    <t>Teamwork</t>
  </si>
  <si>
    <t>20%</t>
  </si>
  <si>
    <t>Code reviews given, helping others, peer feedback</t>
  </si>
  <si>
    <t>2 years</t>
  </si>
  <si>
    <t>Growth</t>
  </si>
  <si>
    <t>15%</t>
  </si>
  <si>
    <t>Learning, taking on new things, trend over the half</t>
  </si>
  <si>
    <t>Jordan</t>
  </si>
  <si>
    <t>Engineer I</t>
  </si>
  <si>
    <t>Yellow cells: pick from the dropdown (1 to 5)</t>
  </si>
  <si>
    <t>Expectations by level</t>
  </si>
  <si>
    <t>7 months</t>
  </si>
  <si>
    <t>Delivers well-scoped tasks with some guidance. Asks for help early. Growing fast.</t>
  </si>
  <si>
    <t>Owns features end to end with little guidance. Reviews others' code. Raises the quality bar for the team.</t>
  </si>
  <si>
    <t>Spread guidance</t>
  </si>
  <si>
    <t>Elena</t>
  </si>
  <si>
    <t>For a small team, expect most people at 3. No more than 1 in 4 people at 4 or above. A 5 needs impact beyond the team.</t>
  </si>
  <si>
    <t>1.5 years</t>
  </si>
  <si>
    <t>Notes</t>
  </si>
  <si>
    <t>Jordan's median cycle time went from 52 hrs in April to 21 hrs in September.</t>
  </si>
  <si>
    <t>Marcus's 3 incidents: two missed null checks in the refund flow and one config change pushed without review.</t>
  </si>
  <si>
    <t>Delivery (35%)</t>
  </si>
  <si>
    <t>Quality (30%)</t>
  </si>
  <si>
    <t>Teamwork (20%)</t>
  </si>
  <si>
    <t>Growth (15%)</t>
  </si>
  <si>
    <t>Weighted score</t>
  </si>
  <si>
    <t>Final rating</t>
  </si>
  <si>
    <t>Rating label</t>
  </si>
  <si>
    <t>Spread check</t>
  </si>
  <si>
    <t>People rated 4 or 5</t>
  </si>
  <si>
    <t>Guide allows</t>
  </si>
  <si>
    <t>1 of 4</t>
  </si>
  <si>
    <t>Within guide?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</si>
</sst>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3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DE4EE"/>
        <bgColor rgb="FFDDE4EE"/>
      </patternFill>
    </fill>
    <fill>
      <patternFill patternType="solid">
        <fgColor rgb="FFFFF2B3"/>
        <bgColor rgb="FFFFF2B3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2" numFmtId="0" xfId="0" applyBorder="1" applyFill="1" applyFont="1"/>
    <xf borderId="1" fillId="2" fontId="2" numFmtId="0" xfId="0" applyAlignment="1" applyBorder="1" applyFill="1" applyFont="1">
      <alignment shrinkToFit="0" vertical="top" wrapText="1"/>
    </xf>
    <xf borderId="0" fillId="0" fontId="3" numFmtId="0" xfId="0" applyAlignment="1" applyFont="1">
      <alignment shrinkToFit="0" vertical="top" wrapText="1"/>
    </xf>
    <xf borderId="0" fillId="0" fontId="4" numFmtId="0" xfId="0" applyFont="1"/>
    <xf borderId="0" fillId="0" fontId="3" numFmtId="9" xfId="0" applyFont="1" applyNumberFormat="1"/>
    <xf borderId="1" fillId="3" fontId="3" numFmtId="0" xfId="0" applyAlignment="1" applyBorder="1" applyFill="1" applyFont="1">
      <alignment readingOrder="0"/>
    </xf>
    <xf borderId="0" fillId="0" fontId="3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6.0"/>
    <col customWidth="1" min="3" max="3" width="80.0"/>
    <col customWidth="1" min="4" max="26" width="8.71"/>
  </cols>
  <sheetData>
    <row r="1">
      <c r="A1" s="1" t="s">
        <v>0</v>
      </c>
    </row>
    <row r="3">
      <c r="A3" s="2" t="s">
        <v>2</v>
      </c>
    </row>
    <row r="4">
      <c r="A4" s="3" t="s">
        <v>4</v>
      </c>
      <c r="B4" s="3" t="s">
        <v>6</v>
      </c>
      <c r="C4" s="3" t="s">
        <v>7</v>
      </c>
    </row>
    <row r="5">
      <c r="A5" s="5">
        <v>5.0</v>
      </c>
      <c r="B5" s="5" t="s">
        <v>14</v>
      </c>
      <c r="C5" s="5" t="s">
        <v>15</v>
      </c>
    </row>
    <row r="6">
      <c r="A6" s="5">
        <v>4.0</v>
      </c>
      <c r="B6" s="5" t="s">
        <v>17</v>
      </c>
      <c r="C6" s="5" t="s">
        <v>19</v>
      </c>
    </row>
    <row r="7">
      <c r="A7" s="5">
        <v>3.0</v>
      </c>
      <c r="B7" s="5" t="s">
        <v>21</v>
      </c>
      <c r="C7" s="5" t="s">
        <v>22</v>
      </c>
    </row>
    <row r="8">
      <c r="A8" s="5">
        <v>2.0</v>
      </c>
      <c r="B8" s="5" t="s">
        <v>23</v>
      </c>
      <c r="C8" s="5" t="s">
        <v>25</v>
      </c>
    </row>
    <row r="9">
      <c r="A9" s="5">
        <v>1.0</v>
      </c>
      <c r="B9" s="5" t="s">
        <v>26</v>
      </c>
      <c r="C9" s="5" t="s">
        <v>28</v>
      </c>
    </row>
    <row r="11">
      <c r="A11" s="2" t="s">
        <v>30</v>
      </c>
    </row>
    <row r="12">
      <c r="A12" s="3" t="s">
        <v>31</v>
      </c>
      <c r="B12" s="3" t="s">
        <v>32</v>
      </c>
      <c r="C12" s="3" t="s">
        <v>33</v>
      </c>
    </row>
    <row r="13">
      <c r="A13" s="6" t="s">
        <v>34</v>
      </c>
      <c r="B13" s="6" t="s">
        <v>35</v>
      </c>
      <c r="C13" s="6" t="s">
        <v>36</v>
      </c>
    </row>
    <row r="14">
      <c r="A14" s="6" t="s">
        <v>37</v>
      </c>
      <c r="B14" s="6" t="s">
        <v>38</v>
      </c>
      <c r="C14" s="6" t="s">
        <v>39</v>
      </c>
    </row>
    <row r="15">
      <c r="A15" s="6" t="s">
        <v>42</v>
      </c>
      <c r="B15" s="6" t="s">
        <v>43</v>
      </c>
      <c r="C15" s="6" t="s">
        <v>44</v>
      </c>
    </row>
    <row r="16">
      <c r="A16" s="6" t="s">
        <v>46</v>
      </c>
      <c r="B16" s="6" t="s">
        <v>47</v>
      </c>
      <c r="C16" s="6" t="s">
        <v>48</v>
      </c>
    </row>
    <row r="18">
      <c r="A18" s="2" t="s">
        <v>52</v>
      </c>
    </row>
    <row r="19">
      <c r="A19" s="6" t="s">
        <v>50</v>
      </c>
      <c r="C19" s="6" t="s">
        <v>54</v>
      </c>
    </row>
    <row r="20">
      <c r="A20" s="6" t="s">
        <v>27</v>
      </c>
      <c r="C20" s="6" t="s">
        <v>55</v>
      </c>
    </row>
    <row r="21" ht="15.75" customHeight="1"/>
    <row r="22" ht="15.75" customHeight="1">
      <c r="A22" s="2" t="s">
        <v>56</v>
      </c>
    </row>
    <row r="23" ht="15.75" customHeight="1">
      <c r="A23" s="6" t="s">
        <v>58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3" width="13.0"/>
    <col customWidth="1" min="4" max="4" width="11.0"/>
    <col customWidth="1" min="5" max="6" width="14.0"/>
    <col customWidth="1" min="7" max="7" width="12.0"/>
    <col customWidth="1" min="8" max="8" width="13.0"/>
    <col customWidth="1" min="9" max="9" width="11.0"/>
    <col customWidth="1" min="10" max="11" width="13.0"/>
    <col customWidth="1" min="12" max="26" width="8.71"/>
  </cols>
  <sheetData>
    <row r="1">
      <c r="A1" s="1" t="s">
        <v>1</v>
      </c>
    </row>
    <row r="3" ht="45.0" customHeight="1">
      <c r="A3" s="4" t="s">
        <v>3</v>
      </c>
      <c r="B3" s="4" t="s">
        <v>5</v>
      </c>
      <c r="C3" s="4" t="s">
        <v>8</v>
      </c>
      <c r="D3" s="4" t="s">
        <v>9</v>
      </c>
      <c r="E3" s="4" t="s">
        <v>10</v>
      </c>
      <c r="F3" s="4" t="s">
        <v>11</v>
      </c>
      <c r="G3" s="4" t="s">
        <v>12</v>
      </c>
      <c r="H3" s="4" t="s">
        <v>13</v>
      </c>
      <c r="I3" s="4" t="s">
        <v>16</v>
      </c>
      <c r="J3" s="4" t="s">
        <v>18</v>
      </c>
      <c r="K3" s="4" t="s">
        <v>20</v>
      </c>
    </row>
    <row r="4">
      <c r="A4" s="6" t="s">
        <v>24</v>
      </c>
      <c r="B4" s="6" t="s">
        <v>27</v>
      </c>
      <c r="C4" s="6" t="s">
        <v>29</v>
      </c>
      <c r="D4" s="6">
        <v>64.0</v>
      </c>
      <c r="E4" s="6">
        <v>18.0</v>
      </c>
      <c r="F4" s="7">
        <v>0.12</v>
      </c>
      <c r="G4" s="6">
        <v>88.0</v>
      </c>
      <c r="H4" s="7">
        <v>0.92</v>
      </c>
      <c r="I4" s="6">
        <v>0.0</v>
      </c>
      <c r="J4" s="6">
        <v>6.0</v>
      </c>
      <c r="K4" s="6">
        <v>4.7</v>
      </c>
    </row>
    <row r="5">
      <c r="A5" s="6" t="s">
        <v>40</v>
      </c>
      <c r="B5" s="6" t="s">
        <v>27</v>
      </c>
      <c r="C5" s="6" t="s">
        <v>45</v>
      </c>
      <c r="D5" s="6">
        <v>91.0</v>
      </c>
      <c r="E5" s="6">
        <v>9.0</v>
      </c>
      <c r="F5" s="7">
        <v>0.41</v>
      </c>
      <c r="G5" s="6">
        <v>22.0</v>
      </c>
      <c r="H5" s="7">
        <v>0.98</v>
      </c>
      <c r="I5" s="6">
        <v>3.0</v>
      </c>
      <c r="J5" s="6">
        <v>2.0</v>
      </c>
      <c r="K5" s="6">
        <v>3.4</v>
      </c>
    </row>
    <row r="6">
      <c r="A6" s="6" t="s">
        <v>49</v>
      </c>
      <c r="B6" s="6" t="s">
        <v>50</v>
      </c>
      <c r="C6" s="6" t="s">
        <v>53</v>
      </c>
      <c r="D6" s="6">
        <v>38.0</v>
      </c>
      <c r="E6" s="6">
        <v>30.0</v>
      </c>
      <c r="F6" s="7">
        <v>0.2</v>
      </c>
      <c r="G6" s="6">
        <v>30.0</v>
      </c>
      <c r="H6" s="7">
        <v>0.85</v>
      </c>
      <c r="I6" s="6">
        <v>0.0</v>
      </c>
      <c r="J6" s="6">
        <v>4.0</v>
      </c>
      <c r="K6" s="6">
        <v>4.2</v>
      </c>
    </row>
    <row r="7">
      <c r="A7" s="6" t="s">
        <v>57</v>
      </c>
      <c r="B7" s="6" t="s">
        <v>50</v>
      </c>
      <c r="C7" s="6" t="s">
        <v>59</v>
      </c>
      <c r="D7" s="6">
        <v>29.0</v>
      </c>
      <c r="E7" s="6">
        <v>46.0</v>
      </c>
      <c r="F7" s="7">
        <v>0.25</v>
      </c>
      <c r="G7" s="6">
        <v>9.0</v>
      </c>
      <c r="H7" s="7">
        <v>0.61</v>
      </c>
      <c r="I7" s="6">
        <v>1.0</v>
      </c>
      <c r="J7" s="6">
        <v>1.0</v>
      </c>
      <c r="K7" s="6">
        <v>3.1</v>
      </c>
    </row>
    <row r="9">
      <c r="A9" s="2" t="s">
        <v>60</v>
      </c>
    </row>
    <row r="10">
      <c r="A10" s="6" t="s">
        <v>61</v>
      </c>
    </row>
    <row r="11">
      <c r="A11" s="6" t="s">
        <v>62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3.0"/>
    <col customWidth="1" min="3" max="4" width="12.0"/>
    <col customWidth="1" min="5" max="5" width="13.0"/>
    <col customWidth="1" min="6" max="8" width="12.0"/>
    <col customWidth="1" min="9" max="9" width="16.0"/>
    <col customWidth="1" min="10" max="26" width="8.71"/>
  </cols>
  <sheetData>
    <row r="1">
      <c r="A1" s="1" t="s">
        <v>41</v>
      </c>
    </row>
    <row r="2">
      <c r="A2" s="6" t="s">
        <v>51</v>
      </c>
    </row>
    <row r="4" ht="31.5" customHeight="1">
      <c r="A4" s="4" t="s">
        <v>3</v>
      </c>
      <c r="B4" s="4" t="s">
        <v>5</v>
      </c>
      <c r="C4" s="4" t="s">
        <v>63</v>
      </c>
      <c r="D4" s="4" t="s">
        <v>64</v>
      </c>
      <c r="E4" s="4" t="s">
        <v>65</v>
      </c>
      <c r="F4" s="4" t="s">
        <v>66</v>
      </c>
      <c r="G4" s="4" t="s">
        <v>67</v>
      </c>
      <c r="H4" s="4" t="s">
        <v>68</v>
      </c>
      <c r="I4" s="4" t="s">
        <v>69</v>
      </c>
    </row>
    <row r="5">
      <c r="A5" s="6" t="s">
        <v>24</v>
      </c>
      <c r="B5" s="6" t="s">
        <v>27</v>
      </c>
      <c r="C5" s="8">
        <v>4.0</v>
      </c>
      <c r="D5" s="8">
        <v>5.0</v>
      </c>
      <c r="E5" s="8">
        <v>5.0</v>
      </c>
      <c r="F5" s="8">
        <v>4.0</v>
      </c>
      <c r="G5" s="9">
        <f t="shared" ref="G5:G8" si="1">IF(COUNTA(C5:F5)&lt;4,"",ROUND(VALUE(C5)*0.35+VALUE(D5)*0.3+VALUE(E5)*0.2+VALUE(F5)*0.15,2))</f>
        <v>4.5</v>
      </c>
      <c r="H5" s="8">
        <v>4.0</v>
      </c>
      <c r="I5" s="6" t="str">
        <f t="shared" ref="I5:I8" si="2">IF(H5="","",CHOOSE(VALUE(H5),"Below","Partially meets","Meets","Exceeds","Outstanding"))</f>
        <v>Exceeds</v>
      </c>
    </row>
    <row r="6">
      <c r="A6" s="6" t="s">
        <v>40</v>
      </c>
      <c r="B6" s="6" t="s">
        <v>27</v>
      </c>
      <c r="C6" s="8">
        <v>5.0</v>
      </c>
      <c r="D6" s="8">
        <v>2.0</v>
      </c>
      <c r="E6" s="8">
        <v>3.0</v>
      </c>
      <c r="F6" s="8">
        <v>3.0</v>
      </c>
      <c r="G6" s="9">
        <f t="shared" si="1"/>
        <v>3.4</v>
      </c>
      <c r="H6" s="8">
        <v>3.0</v>
      </c>
      <c r="I6" s="6" t="str">
        <f t="shared" si="2"/>
        <v>Meets</v>
      </c>
    </row>
    <row r="7">
      <c r="A7" s="6" t="s">
        <v>49</v>
      </c>
      <c r="B7" s="6" t="s">
        <v>50</v>
      </c>
      <c r="C7" s="8">
        <v>3.0</v>
      </c>
      <c r="D7" s="8">
        <v>3.0</v>
      </c>
      <c r="E7" s="8">
        <v>4.0</v>
      </c>
      <c r="F7" s="8">
        <v>4.0</v>
      </c>
      <c r="G7" s="9">
        <f t="shared" si="1"/>
        <v>3.35</v>
      </c>
      <c r="H7" s="8">
        <v>3.0</v>
      </c>
      <c r="I7" s="6" t="str">
        <f t="shared" si="2"/>
        <v>Meets</v>
      </c>
    </row>
    <row r="8">
      <c r="A8" s="6" t="s">
        <v>57</v>
      </c>
      <c r="B8" s="6" t="s">
        <v>50</v>
      </c>
      <c r="C8" s="8">
        <v>2.0</v>
      </c>
      <c r="D8" s="8">
        <v>3.0</v>
      </c>
      <c r="E8" s="8">
        <v>2.0</v>
      </c>
      <c r="F8" s="8">
        <v>2.0</v>
      </c>
      <c r="G8" s="9">
        <f t="shared" si="1"/>
        <v>2.3</v>
      </c>
      <c r="H8" s="8">
        <v>2.0</v>
      </c>
      <c r="I8" s="6" t="str">
        <f t="shared" si="2"/>
        <v>Partially meets</v>
      </c>
    </row>
    <row r="11">
      <c r="A11" s="2" t="s">
        <v>70</v>
      </c>
    </row>
    <row r="12">
      <c r="A12" s="6" t="s">
        <v>71</v>
      </c>
      <c r="C12" s="6">
        <f>COUNTIF(I5:I8,"Exceeds")+COUNTIF(I5:I8,"Outstanding")</f>
        <v>1</v>
      </c>
    </row>
    <row r="13">
      <c r="A13" s="6" t="s">
        <v>72</v>
      </c>
      <c r="C13" s="6" t="s">
        <v>73</v>
      </c>
    </row>
    <row r="14">
      <c r="A14" s="6" t="s">
        <v>74</v>
      </c>
      <c r="C14" s="6" t="str">
        <f>IF(COUNTA(H5:H8)&lt;4,"",IF(C12&lt;=1,"Yes","No"))</f>
        <v>Yes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C5:F8 H5:H8">
      <formula1>"1,2,3,4,5"</formula1>
    </dataValidation>
  </dataValidations>
  <printOptions/>
  <pageMargins bottom="1.0" footer="0.0" header="0.0" left="0.75" right="0.75" top="1.0"/>
  <pageSetup orientation="landscape"/>
  <drawing r:id="rId1"/>
</worksheet>
</file>