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 Guide" sheetId="1" state="visible" r:id="rId1"/>
    <sheet xmlns:r="http://schemas.openxmlformats.org/officeDocument/2006/relationships" name="Team Data" sheetId="2" state="visible" r:id="rId2"/>
    <sheet xmlns:r="http://schemas.openxmlformats.org/officeDocument/2006/relationships" name="Ra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9" fontId="0" fillId="0" borderId="0" pivotButton="0" quotePrefix="0" xfId="0"/>
    <xf numFmtId="0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0" customWidth="1" min="3" max="3"/>
  </cols>
  <sheetData>
    <row r="1">
      <c r="A1" s="1" t="inlineStr">
        <is>
          <t>Engineering performance rating guide</t>
        </is>
      </c>
    </row>
    <row r="3">
      <c r="A3" s="2" t="inlineStr">
        <is>
          <t>Rating scale</t>
        </is>
      </c>
    </row>
    <row r="4">
      <c r="A4" s="3" t="inlineStr">
        <is>
          <t>Rating</t>
        </is>
      </c>
      <c r="B4" s="3" t="inlineStr">
        <is>
          <t>Label</t>
        </is>
      </c>
      <c r="C4" s="3" t="inlineStr">
        <is>
          <t>What it means</t>
        </is>
      </c>
    </row>
    <row r="5">
      <c r="A5" s="4" t="n">
        <v>5</v>
      </c>
      <c r="B5" s="4" t="inlineStr">
        <is>
          <t>Outstanding</t>
        </is>
      </c>
      <c r="C5" s="4" t="inlineStr">
        <is>
          <t>Far above the level. Impact reaches beyond the team. Rare.</t>
        </is>
      </c>
    </row>
    <row r="6">
      <c r="A6" s="4" t="n">
        <v>4</v>
      </c>
      <c r="B6" s="4" t="inlineStr">
        <is>
          <t>Exceeds</t>
        </is>
      </c>
      <c r="C6" s="4" t="inlineStr">
        <is>
          <t>Consistently above what the level asks for.</t>
        </is>
      </c>
    </row>
    <row r="7">
      <c r="A7" s="4" t="n">
        <v>3</v>
      </c>
      <c r="B7" s="4" t="inlineStr">
        <is>
          <t>Meets</t>
        </is>
      </c>
      <c r="C7" s="4" t="inlineStr">
        <is>
          <t>Solid, reliable work at the expected level. Most people land here.</t>
        </is>
      </c>
    </row>
    <row r="8">
      <c r="A8" s="4" t="n">
        <v>2</v>
      </c>
      <c r="B8" s="4" t="inlineStr">
        <is>
          <t>Partially meets</t>
        </is>
      </c>
      <c r="C8" s="4" t="inlineStr">
        <is>
          <t>Some expectations not met. Needs a clear plan.</t>
        </is>
      </c>
    </row>
    <row r="9">
      <c r="A9" s="4" t="n">
        <v>1</v>
      </c>
      <c r="B9" s="4" t="inlineStr">
        <is>
          <t>Below</t>
        </is>
      </c>
      <c r="C9" s="4" t="inlineStr">
        <is>
          <t>Well below the level. Needs immediate support.</t>
        </is>
      </c>
    </row>
    <row r="11">
      <c r="A11" s="2" t="inlineStr">
        <is>
          <t>Categories and weights</t>
        </is>
      </c>
    </row>
    <row r="12">
      <c r="A12" s="3" t="inlineStr">
        <is>
          <t>Category</t>
        </is>
      </c>
      <c r="B12" s="3" t="inlineStr">
        <is>
          <t>Weight</t>
        </is>
      </c>
      <c r="C12" s="3" t="inlineStr">
        <is>
          <t>What to look at</t>
        </is>
      </c>
    </row>
    <row r="13">
      <c r="A13" t="inlineStr">
        <is>
          <t>Delivery</t>
        </is>
      </c>
      <c r="B13" t="inlineStr">
        <is>
          <t>35%</t>
        </is>
      </c>
      <c r="C13" t="inlineStr">
        <is>
          <t>Commitments met, amount of finished work</t>
        </is>
      </c>
    </row>
    <row r="14">
      <c r="A14" t="inlineStr">
        <is>
          <t>Quality</t>
        </is>
      </c>
      <c r="B14" t="inlineStr">
        <is>
          <t>30%</t>
        </is>
      </c>
      <c r="C14" t="inlineStr">
        <is>
          <t>Rework rate, incidents caused, test coverage</t>
        </is>
      </c>
    </row>
    <row r="15">
      <c r="A15" t="inlineStr">
        <is>
          <t>Teamwork</t>
        </is>
      </c>
      <c r="B15" t="inlineStr">
        <is>
          <t>20%</t>
        </is>
      </c>
      <c r="C15" t="inlineStr">
        <is>
          <t>Code reviews given, helping others, peer feedback</t>
        </is>
      </c>
    </row>
    <row r="16">
      <c r="A16" t="inlineStr">
        <is>
          <t>Growth</t>
        </is>
      </c>
      <c r="B16" t="inlineStr">
        <is>
          <t>15%</t>
        </is>
      </c>
      <c r="C16" t="inlineStr">
        <is>
          <t>Learning, taking on new things, trend over the half</t>
        </is>
      </c>
    </row>
    <row r="18">
      <c r="A18" s="2" t="inlineStr">
        <is>
          <t>Expectations by level</t>
        </is>
      </c>
    </row>
    <row r="19">
      <c r="A19" t="inlineStr">
        <is>
          <t>Engineer I</t>
        </is>
      </c>
      <c r="C19" t="inlineStr">
        <is>
          <t>Delivers well-scoped tasks with some guidance. Asks for help early. Growing fast.</t>
        </is>
      </c>
    </row>
    <row r="20">
      <c r="A20" t="inlineStr">
        <is>
          <t>Engineer II</t>
        </is>
      </c>
      <c r="C20" t="inlineStr">
        <is>
          <t>Owns features end to end with little guidance. Reviews others' code. Raises the quality bar for the team.</t>
        </is>
      </c>
    </row>
    <row r="22">
      <c r="A22" s="2" t="inlineStr">
        <is>
          <t>Spread guidance</t>
        </is>
      </c>
    </row>
    <row r="23">
      <c r="A23" t="inlineStr">
        <is>
          <t>For a small team, expect most people at 3. No more than 1 in 4 people at 4 or above. A 5 needs impact beyond the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1" customWidth="1" min="4" max="4"/>
    <col width="14" customWidth="1" min="5" max="5"/>
    <col width="14" customWidth="1" min="6" max="6"/>
    <col width="12" customWidth="1" min="7" max="7"/>
    <col width="13" customWidth="1" min="8" max="8"/>
    <col width="11" customWidth="1" min="9" max="9"/>
    <col width="13" customWidth="1" min="10" max="10"/>
    <col width="13" customWidth="1" min="11" max="11"/>
  </cols>
  <sheetData>
    <row r="1">
      <c r="A1" s="1" t="inlineStr">
        <is>
          <t>Payments platform team: April to September 2026</t>
        </is>
      </c>
    </row>
    <row r="3" ht="45" customHeight="1">
      <c r="A3" s="5" t="inlineStr">
        <is>
          <t>Engineer</t>
        </is>
      </c>
      <c r="B3" s="5" t="inlineStr">
        <is>
          <t>Level</t>
        </is>
      </c>
      <c r="C3" s="5" t="inlineStr">
        <is>
          <t>Time on team</t>
        </is>
      </c>
      <c r="D3" s="5" t="inlineStr">
        <is>
          <t>PRs merged</t>
        </is>
      </c>
      <c r="E3" s="5" t="inlineStr">
        <is>
          <t>Median PR cycle time (hrs)</t>
        </is>
      </c>
      <c r="F3" s="5" t="inlineStr">
        <is>
          <t>PRs sent back for changes</t>
        </is>
      </c>
      <c r="G3" s="5" t="inlineStr">
        <is>
          <t>Code reviews given</t>
        </is>
      </c>
      <c r="H3" s="5" t="inlineStr">
        <is>
          <t>Sprint commitments met</t>
        </is>
      </c>
      <c r="I3" s="5" t="inlineStr">
        <is>
          <t>Incidents caused</t>
        </is>
      </c>
      <c r="J3" s="5" t="inlineStr">
        <is>
          <t>On-call incidents resolved</t>
        </is>
      </c>
      <c r="K3" s="5" t="inlineStr">
        <is>
          <t>Peer feedback (avg of 5)</t>
        </is>
      </c>
    </row>
    <row r="4">
      <c r="A4" t="inlineStr">
        <is>
          <t>Priya</t>
        </is>
      </c>
      <c r="B4" t="inlineStr">
        <is>
          <t>Engineer II</t>
        </is>
      </c>
      <c r="C4" t="inlineStr">
        <is>
          <t>3 years</t>
        </is>
      </c>
      <c r="D4" t="n">
        <v>64</v>
      </c>
      <c r="E4" t="n">
        <v>18</v>
      </c>
      <c r="F4" s="6" t="n">
        <v>0.12</v>
      </c>
      <c r="G4" t="n">
        <v>88</v>
      </c>
      <c r="H4" s="6" t="n">
        <v>0.92</v>
      </c>
      <c r="I4" t="n">
        <v>0</v>
      </c>
      <c r="J4" t="n">
        <v>6</v>
      </c>
      <c r="K4" t="n">
        <v>4.7</v>
      </c>
    </row>
    <row r="5">
      <c r="A5" t="inlineStr">
        <is>
          <t>Marcus</t>
        </is>
      </c>
      <c r="B5" t="inlineStr">
        <is>
          <t>Engineer II</t>
        </is>
      </c>
      <c r="C5" t="inlineStr">
        <is>
          <t>2 years</t>
        </is>
      </c>
      <c r="D5" t="n">
        <v>91</v>
      </c>
      <c r="E5" t="n">
        <v>9</v>
      </c>
      <c r="F5" s="6" t="n">
        <v>0.41</v>
      </c>
      <c r="G5" t="n">
        <v>22</v>
      </c>
      <c r="H5" s="6" t="n">
        <v>0.98</v>
      </c>
      <c r="I5" t="n">
        <v>3</v>
      </c>
      <c r="J5" t="n">
        <v>2</v>
      </c>
      <c r="K5" t="n">
        <v>3.4</v>
      </c>
    </row>
    <row r="6">
      <c r="A6" t="inlineStr">
        <is>
          <t>Jordan</t>
        </is>
      </c>
      <c r="B6" t="inlineStr">
        <is>
          <t>Engineer I</t>
        </is>
      </c>
      <c r="C6" t="inlineStr">
        <is>
          <t>7 months</t>
        </is>
      </c>
      <c r="D6" t="n">
        <v>38</v>
      </c>
      <c r="E6" t="n">
        <v>30</v>
      </c>
      <c r="F6" s="6" t="n">
        <v>0.2</v>
      </c>
      <c r="G6" t="n">
        <v>30</v>
      </c>
      <c r="H6" s="6" t="n">
        <v>0.85</v>
      </c>
      <c r="I6" t="n">
        <v>0</v>
      </c>
      <c r="J6" t="n">
        <v>4</v>
      </c>
      <c r="K6" t="n">
        <v>4.2</v>
      </c>
    </row>
    <row r="7">
      <c r="A7" t="inlineStr">
        <is>
          <t>Elena</t>
        </is>
      </c>
      <c r="B7" t="inlineStr">
        <is>
          <t>Engineer I</t>
        </is>
      </c>
      <c r="C7" t="inlineStr">
        <is>
          <t>1.5 years</t>
        </is>
      </c>
      <c r="D7" t="n">
        <v>29</v>
      </c>
      <c r="E7" t="n">
        <v>46</v>
      </c>
      <c r="F7" s="6" t="n">
        <v>0.25</v>
      </c>
      <c r="G7" t="n">
        <v>9</v>
      </c>
      <c r="H7" s="6" t="n">
        <v>0.61</v>
      </c>
      <c r="I7" t="n">
        <v>1</v>
      </c>
      <c r="J7" t="n">
        <v>1</v>
      </c>
      <c r="K7" t="n">
        <v>3.1</v>
      </c>
    </row>
    <row r="9">
      <c r="A9" s="2" t="inlineStr">
        <is>
          <t>Notes</t>
        </is>
      </c>
    </row>
    <row r="10">
      <c r="A10" t="inlineStr">
        <is>
          <t>Jordan's median cycle time went from 52 hrs in April to 21 hrs in September.</t>
        </is>
      </c>
    </row>
    <row r="11">
      <c r="A11" t="inlineStr">
        <is>
          <t>Marcus's 3 incidents: two missed null checks in the refund flow and one config change pushed without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Half-year ratings: April to September 2026</t>
        </is>
      </c>
    </row>
    <row r="2">
      <c r="A2" t="inlineStr">
        <is>
          <t>Yellow cells: pick from the dropdown (1 to 5)</t>
        </is>
      </c>
    </row>
    <row r="4" ht="32" customHeight="1">
      <c r="A4" s="5" t="inlineStr">
        <is>
          <t>Engineer</t>
        </is>
      </c>
      <c r="B4" s="5" t="inlineStr">
        <is>
          <t>Level</t>
        </is>
      </c>
      <c r="C4" s="5" t="inlineStr">
        <is>
          <t>Delivery (35%)</t>
        </is>
      </c>
      <c r="D4" s="5" t="inlineStr">
        <is>
          <t>Quality (30%)</t>
        </is>
      </c>
      <c r="E4" s="5" t="inlineStr">
        <is>
          <t>Teamwork (20%)</t>
        </is>
      </c>
      <c r="F4" s="5" t="inlineStr">
        <is>
          <t>Growth (15%)</t>
        </is>
      </c>
      <c r="G4" s="5" t="inlineStr">
        <is>
          <t>Weighted score</t>
        </is>
      </c>
      <c r="H4" s="5" t="inlineStr">
        <is>
          <t>Final rating</t>
        </is>
      </c>
      <c r="I4" s="5" t="inlineStr">
        <is>
          <t>Rating label</t>
        </is>
      </c>
    </row>
    <row r="5">
      <c r="A5" t="inlineStr">
        <is>
          <t>Priya</t>
        </is>
      </c>
      <c r="B5" t="inlineStr">
        <is>
          <t>Engineer II</t>
        </is>
      </c>
      <c r="C5" s="7" t="n"/>
      <c r="D5" s="7" t="n"/>
      <c r="E5" s="7" t="n"/>
      <c r="F5" s="7" t="n"/>
      <c r="G5" s="8">
        <f>IF(COUNTA(C5:F5)&lt;4,"",ROUND(VALUE(C5)*0.35+VALUE(D5)*0.3+VALUE(E5)*0.2+VALUE(F5)*0.15,2))</f>
        <v/>
      </c>
      <c r="H5" s="7" t="n"/>
      <c r="I5">
        <f>IF(H5="","",CHOOSE(VALUE(H5),"Below","Partially meets","Meets","Exceeds","Outstanding"))</f>
        <v/>
      </c>
    </row>
    <row r="6">
      <c r="A6" t="inlineStr">
        <is>
          <t>Marcus</t>
        </is>
      </c>
      <c r="B6" t="inlineStr">
        <is>
          <t>Engineer II</t>
        </is>
      </c>
      <c r="C6" s="7" t="n"/>
      <c r="D6" s="7" t="n"/>
      <c r="E6" s="7" t="n"/>
      <c r="F6" s="7" t="n"/>
      <c r="G6" s="8">
        <f>IF(COUNTA(C6:F6)&lt;4,"",ROUND(VALUE(C6)*0.35+VALUE(D6)*0.3+VALUE(E6)*0.2+VALUE(F6)*0.15,2))</f>
        <v/>
      </c>
      <c r="H6" s="7" t="n"/>
      <c r="I6">
        <f>IF(H6="","",CHOOSE(VALUE(H6),"Below","Partially meets","Meets","Exceeds","Outstanding"))</f>
        <v/>
      </c>
    </row>
    <row r="7">
      <c r="A7" t="inlineStr">
        <is>
          <t>Jordan</t>
        </is>
      </c>
      <c r="B7" t="inlineStr">
        <is>
          <t>Engineer I</t>
        </is>
      </c>
      <c r="C7" s="7" t="n"/>
      <c r="D7" s="7" t="n"/>
      <c r="E7" s="7" t="n"/>
      <c r="F7" s="7" t="n"/>
      <c r="G7" s="8">
        <f>IF(COUNTA(C7:F7)&lt;4,"",ROUND(VALUE(C7)*0.35+VALUE(D7)*0.3+VALUE(E7)*0.2+VALUE(F7)*0.15,2))</f>
        <v/>
      </c>
      <c r="H7" s="7" t="n"/>
      <c r="I7">
        <f>IF(H7="","",CHOOSE(VALUE(H7),"Below","Partially meets","Meets","Exceeds","Outstanding"))</f>
        <v/>
      </c>
    </row>
    <row r="8">
      <c r="A8" t="inlineStr">
        <is>
          <t>Elena</t>
        </is>
      </c>
      <c r="B8" t="inlineStr">
        <is>
          <t>Engineer I</t>
        </is>
      </c>
      <c r="C8" s="7" t="n"/>
      <c r="D8" s="7" t="n"/>
      <c r="E8" s="7" t="n"/>
      <c r="F8" s="7" t="n"/>
      <c r="G8" s="8">
        <f>IF(COUNTA(C8:F8)&lt;4,"",ROUND(VALUE(C8)*0.35+VALUE(D8)*0.3+VALUE(E8)*0.2+VALUE(F8)*0.15,2))</f>
        <v/>
      </c>
      <c r="H8" s="7" t="n"/>
      <c r="I8">
        <f>IF(H8="","",CHOOSE(VALUE(H8),"Below","Partially meets","Meets","Exceeds","Outstanding"))</f>
        <v/>
      </c>
    </row>
    <row r="11">
      <c r="A11" s="2" t="inlineStr">
        <is>
          <t>Spread check</t>
        </is>
      </c>
    </row>
    <row r="12">
      <c r="A12" t="inlineStr">
        <is>
          <t>People rated 4 or 5</t>
        </is>
      </c>
      <c r="C12">
        <f>COUNTIF(I5:I8,"Exceeds")+COUNTIF(I5:I8,"Outstanding")</f>
        <v/>
      </c>
    </row>
    <row r="13">
      <c r="A13" t="inlineStr">
        <is>
          <t>Guide allows</t>
        </is>
      </c>
      <c r="C13" t="inlineStr">
        <is>
          <t>1 of 4</t>
        </is>
      </c>
    </row>
    <row r="14">
      <c r="A14" t="inlineStr">
        <is>
          <t>Within guide?</t>
        </is>
      </c>
      <c r="C14">
        <f>IF(COUNTA(H5:H8)&lt;4,"",IF(C12&lt;=1,"Yes","No"))</f>
        <v/>
      </c>
    </row>
  </sheetData>
  <dataValidations count="1">
    <dataValidation sqref="C5 C6 C7 C8 D5 D6 D7 D8 E5 E6 E7 E8 F5 F6 F7 F8 H5 H6 H7 H8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2026-10-27T03:57:31Z</dcterms:created>
  <dcterms:modified xmlns:dcterms="http://purl.org/dc/terms/" xmlns:xsi="http://www.w3.org/2001/XMLSchema-instance" xsi:type="dcterms:W3CDTF">2026-10-27T03:57:43Z</dcterms:modified>
</cp:coreProperties>
</file>